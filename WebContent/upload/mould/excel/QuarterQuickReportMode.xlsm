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C:\Users\lenovo\Desktop\横琴\SVN\"/>
    </mc:Choice>
  </mc:AlternateContent>
  <workbookProtection workbookPassword="C78F" lockStructure="1"/>
  <bookViews>
    <workbookView xWindow="0" yWindow="0" windowWidth="20385" windowHeight="7620" firstSheet="1" activeTab="2"/>
  </bookViews>
  <sheets>
    <sheet name="A01#" sheetId="1" state="hidden" r:id="rId1"/>
    <sheet name="公司信息" sheetId="2" r:id="rId2"/>
    <sheet name="主要指标" sheetId="3" r:id="rId3"/>
  </sheets>
  <externalReferences>
    <externalReference r:id="rId4"/>
    <externalReference r:id="rId5"/>
  </externalReferences>
  <definedNames>
    <definedName name="M_A01">[1]封面!$E$5</definedName>
    <definedName name="M_CP">[1]封面!$F$4</definedName>
  </definedNames>
  <calcPr calcId="152511" concurrentCalc="0"/>
</workbook>
</file>

<file path=xl/calcChain.xml><?xml version="1.0" encoding="utf-8"?>
<calcChain xmlns="http://schemas.openxmlformats.org/spreadsheetml/2006/main">
  <c r="D24" i="3" l="1"/>
  <c r="C24" i="3"/>
  <c r="D23" i="3"/>
  <c r="C23" i="3"/>
  <c r="D22" i="3"/>
  <c r="C22" i="3"/>
  <c r="D21" i="3"/>
  <c r="C21" i="3"/>
  <c r="D11" i="3"/>
  <c r="C11" i="3"/>
  <c r="D6" i="3"/>
  <c r="C6" i="3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</calcChain>
</file>

<file path=xl/comments1.xml><?xml version="1.0" encoding="utf-8"?>
<comments xmlns="http://schemas.openxmlformats.org/spreadsheetml/2006/main">
  <authors>
    <author>Administrator</author>
  </authors>
  <commentList>
    <comment ref="C4" authorId="0" shapeId="0">
      <text>
        <r>
          <rPr>
            <sz val="9"/>
            <rFont val="宋体"/>
            <charset val="134"/>
          </rPr>
          <t>&lt;g_item(3210000_00001)&gt;</t>
        </r>
      </text>
    </comment>
    <comment ref="C5" authorId="0" shapeId="0">
      <text>
        <r>
          <rPr>
            <sz val="9"/>
            <rFont val="宋体"/>
            <charset val="134"/>
          </rPr>
          <t>&lt;g_item(3210000_00002)&gt;</t>
        </r>
      </text>
    </comment>
    <comment ref="C6" authorId="0" shapeId="0">
      <text>
        <r>
          <rPr>
            <sz val="9"/>
            <rFont val="宋体"/>
            <charset val="134"/>
          </rPr>
          <t>&lt;g_item(3210000_00003)&gt;</t>
        </r>
      </text>
    </comment>
    <comment ref="C7" authorId="0" shapeId="0">
      <text>
        <r>
          <rPr>
            <sz val="9"/>
            <rFont val="宋体"/>
            <charset val="134"/>
          </rPr>
          <t>&lt;g_item(3210000_00004)&gt;</t>
        </r>
      </text>
    </comment>
    <comment ref="C8" authorId="0" shapeId="0">
      <text>
        <r>
          <rPr>
            <sz val="9"/>
            <rFont val="宋体"/>
            <charset val="134"/>
          </rPr>
          <t>&lt;g_item(3210000_00005)&gt;</t>
        </r>
      </text>
    </comment>
    <comment ref="C9" authorId="0" shapeId="0">
      <text>
        <r>
          <rPr>
            <sz val="9"/>
            <rFont val="宋体"/>
            <charset val="134"/>
          </rPr>
          <t>&lt;g_item(3210000_00006)&gt;</t>
        </r>
      </text>
    </comment>
  </commentList>
</comments>
</file>

<file path=xl/comments2.xml><?xml version="1.0" encoding="utf-8"?>
<comments xmlns="http://schemas.openxmlformats.org/spreadsheetml/2006/main">
  <authors>
    <author>Administrator</author>
    <author>adm</author>
  </authors>
  <commentList>
    <comment ref="C4" authorId="0" shapeId="0">
      <text>
        <r>
          <rPr>
            <sz val="9"/>
            <rFont val="宋体"/>
            <family val="3"/>
            <charset val="134"/>
          </rPr>
          <t>&lt;g_item(3220000_00001)&gt;</t>
        </r>
      </text>
    </comment>
    <comment ref="D4" authorId="0" shapeId="0">
      <text>
        <r>
          <rPr>
            <sz val="9"/>
            <rFont val="宋体"/>
            <family val="3"/>
            <charset val="134"/>
          </rPr>
          <t>&lt;g_item(3220000_00022)&gt;</t>
        </r>
      </text>
    </comment>
    <comment ref="C5" authorId="0" shapeId="0">
      <text>
        <r>
          <rPr>
            <sz val="9"/>
            <rFont val="宋体"/>
            <family val="3"/>
            <charset val="134"/>
          </rPr>
          <t>&lt;g_item(3220000_00002)&gt;</t>
        </r>
      </text>
    </comment>
    <comment ref="D5" authorId="0" shapeId="0">
      <text>
        <r>
          <rPr>
            <sz val="9"/>
            <rFont val="宋体"/>
            <family val="3"/>
            <charset val="134"/>
          </rPr>
          <t>&lt;g_item(3220000_00023)&gt;</t>
        </r>
      </text>
    </comment>
    <comment ref="C6" authorId="0" shapeId="0">
      <text>
        <r>
          <rPr>
            <sz val="9"/>
            <rFont val="宋体"/>
            <family val="3"/>
            <charset val="134"/>
          </rPr>
          <t>&lt;g_item(3220000_00003)&gt;</t>
        </r>
      </text>
    </comment>
    <comment ref="D6" authorId="0" shapeId="0">
      <text>
        <r>
          <rPr>
            <sz val="9"/>
            <rFont val="宋体"/>
            <family val="3"/>
            <charset val="134"/>
          </rPr>
          <t>&lt;g_item(3220000_00024)&gt;</t>
        </r>
      </text>
    </comment>
    <comment ref="C7" authorId="0" shapeId="0">
      <text>
        <r>
          <rPr>
            <sz val="9"/>
            <rFont val="宋体"/>
            <family val="3"/>
            <charset val="134"/>
          </rPr>
          <t>&lt;g_item(3220000_00004)&gt;</t>
        </r>
      </text>
    </comment>
    <comment ref="D7" authorId="0" shapeId="0">
      <text>
        <r>
          <rPr>
            <sz val="9"/>
            <rFont val="宋体"/>
            <family val="3"/>
            <charset val="134"/>
          </rPr>
          <t>&lt;g_item(3220000_00025)&gt;</t>
        </r>
      </text>
    </comment>
    <comment ref="C8" authorId="0" shapeId="0">
      <text>
        <r>
          <rPr>
            <sz val="9"/>
            <rFont val="宋体"/>
            <family val="3"/>
            <charset val="134"/>
          </rPr>
          <t>&lt;g_item(3220000_00005)&gt;</t>
        </r>
      </text>
    </comment>
    <comment ref="D8" authorId="0" shapeId="0">
      <text>
        <r>
          <rPr>
            <sz val="9"/>
            <rFont val="宋体"/>
            <family val="3"/>
            <charset val="134"/>
          </rPr>
          <t>&lt;g_item(3220000_00026)&gt;</t>
        </r>
      </text>
    </comment>
    <comment ref="C9" authorId="0" shapeId="0">
      <text>
        <r>
          <rPr>
            <sz val="9"/>
            <rFont val="宋体"/>
            <family val="3"/>
            <charset val="134"/>
          </rPr>
          <t>&lt;g_item(3220000_00006)&gt;</t>
        </r>
      </text>
    </comment>
    <comment ref="D9" authorId="0" shapeId="0">
      <text>
        <r>
          <rPr>
            <sz val="9"/>
            <rFont val="宋体"/>
            <family val="3"/>
            <charset val="134"/>
          </rPr>
          <t>&lt;g_item(3220000_00027)&gt;</t>
        </r>
      </text>
    </comment>
    <comment ref="C10" authorId="0" shapeId="0">
      <text>
        <r>
          <rPr>
            <sz val="9"/>
            <rFont val="宋体"/>
            <family val="3"/>
            <charset val="134"/>
          </rPr>
          <t>&lt;g_item(3220000_00007)&gt;</t>
        </r>
      </text>
    </comment>
    <comment ref="D10" authorId="0" shapeId="0">
      <text>
        <r>
          <rPr>
            <sz val="9"/>
            <rFont val="宋体"/>
            <family val="3"/>
            <charset val="134"/>
          </rPr>
          <t>&lt;g_item(3220000_00028)&gt;</t>
        </r>
      </text>
    </comment>
    <comment ref="C11" authorId="0" shapeId="0">
      <text>
        <r>
          <rPr>
            <sz val="9"/>
            <rFont val="宋体"/>
            <family val="3"/>
            <charset val="134"/>
          </rPr>
          <t>&lt;g_item(3220000_00008)&gt;</t>
        </r>
      </text>
    </comment>
    <comment ref="D11" authorId="0" shapeId="0">
      <text>
        <r>
          <rPr>
            <sz val="9"/>
            <rFont val="宋体"/>
            <family val="3"/>
            <charset val="134"/>
          </rPr>
          <t>&lt;g_item(3220000_00029)&gt;</t>
        </r>
      </text>
    </comment>
    <comment ref="C12" authorId="0" shapeId="0">
      <text>
        <r>
          <rPr>
            <sz val="9"/>
            <rFont val="宋体"/>
            <family val="3"/>
            <charset val="134"/>
          </rPr>
          <t>&lt;g_item(3220000_00009)&gt;</t>
        </r>
      </text>
    </comment>
    <comment ref="D12" authorId="0" shapeId="0">
      <text>
        <r>
          <rPr>
            <sz val="9"/>
            <rFont val="宋体"/>
            <family val="3"/>
            <charset val="134"/>
          </rPr>
          <t>&lt;g_item(3220000_00030)&gt;</t>
        </r>
      </text>
    </comment>
    <comment ref="C13" authorId="0" shapeId="0">
      <text>
        <r>
          <rPr>
            <sz val="9"/>
            <rFont val="宋体"/>
            <family val="3"/>
            <charset val="134"/>
          </rPr>
          <t>&lt;g_item(3220000_00010)&gt;</t>
        </r>
      </text>
    </comment>
    <comment ref="D13" authorId="0" shapeId="0">
      <text>
        <r>
          <rPr>
            <sz val="9"/>
            <rFont val="宋体"/>
            <family val="3"/>
            <charset val="134"/>
          </rPr>
          <t>&lt;g_item(3220000_00031)&gt;</t>
        </r>
      </text>
    </comment>
    <comment ref="C14" authorId="0" shapeId="0">
      <text>
        <r>
          <rPr>
            <sz val="9"/>
            <rFont val="宋体"/>
            <family val="3"/>
            <charset val="134"/>
          </rPr>
          <t>&lt;g_item(3220000_00011)&gt;</t>
        </r>
      </text>
    </comment>
    <comment ref="D14" authorId="0" shapeId="0">
      <text>
        <r>
          <rPr>
            <sz val="9"/>
            <rFont val="宋体"/>
            <family val="3"/>
            <charset val="134"/>
          </rPr>
          <t>&lt;g_item(3220000_00032)&gt;</t>
        </r>
      </text>
    </comment>
    <comment ref="C15" authorId="0" shapeId="0">
      <text>
        <r>
          <rPr>
            <sz val="9"/>
            <rFont val="宋体"/>
            <family val="3"/>
            <charset val="134"/>
          </rPr>
          <t>&lt;g_item(3220000_00012)&gt;</t>
        </r>
      </text>
    </comment>
    <comment ref="D15" authorId="0" shapeId="0">
      <text>
        <r>
          <rPr>
            <sz val="9"/>
            <rFont val="宋体"/>
            <family val="3"/>
            <charset val="134"/>
          </rPr>
          <t>&lt;g_item(3220000_00033)&gt;</t>
        </r>
      </text>
    </comment>
    <comment ref="C16" authorId="0" shapeId="0">
      <text>
        <r>
          <rPr>
            <sz val="9"/>
            <rFont val="宋体"/>
            <family val="3"/>
            <charset val="134"/>
          </rPr>
          <t>&lt;g_item(3220000_00013)&gt;</t>
        </r>
      </text>
    </comment>
    <comment ref="D16" authorId="0" shapeId="0">
      <text>
        <r>
          <rPr>
            <sz val="9"/>
            <rFont val="宋体"/>
            <family val="3"/>
            <charset val="134"/>
          </rPr>
          <t>&lt;g_item(3220000_00034)&gt;</t>
        </r>
      </text>
    </comment>
    <comment ref="C17" authorId="0" shapeId="0">
      <text>
        <r>
          <rPr>
            <sz val="9"/>
            <rFont val="宋体"/>
            <family val="3"/>
            <charset val="134"/>
          </rPr>
          <t>&lt;g_item(3220000_00014)&gt;</t>
        </r>
      </text>
    </comment>
    <comment ref="D17" authorId="0" shapeId="0">
      <text>
        <r>
          <rPr>
            <sz val="9"/>
            <rFont val="宋体"/>
            <family val="3"/>
            <charset val="134"/>
          </rPr>
          <t>&lt;g_item(3220000_00035)&gt;</t>
        </r>
      </text>
    </comment>
    <comment ref="C18" authorId="0" shapeId="0">
      <text>
        <r>
          <rPr>
            <sz val="9"/>
            <rFont val="宋体"/>
            <family val="3"/>
            <charset val="134"/>
          </rPr>
          <t>&lt;g_item(3220000_00015)&gt;</t>
        </r>
      </text>
    </comment>
    <comment ref="D18" authorId="0" shapeId="0">
      <text>
        <r>
          <rPr>
            <sz val="9"/>
            <rFont val="宋体"/>
            <family val="3"/>
            <charset val="134"/>
          </rPr>
          <t>&lt;g_item(3220000_00036)&gt;</t>
        </r>
      </text>
    </comment>
    <comment ref="C19" authorId="0" shapeId="0">
      <text>
        <r>
          <rPr>
            <sz val="9"/>
            <rFont val="宋体"/>
            <family val="3"/>
            <charset val="134"/>
          </rPr>
          <t>&lt;g_item(3220000_00016)&gt;</t>
        </r>
      </text>
    </comment>
    <comment ref="D19" authorId="0" shapeId="0">
      <text>
        <r>
          <rPr>
            <sz val="9"/>
            <rFont val="宋体"/>
            <family val="3"/>
            <charset val="134"/>
          </rPr>
          <t>&lt;g_item(3220000_00037)&gt;</t>
        </r>
      </text>
    </comment>
    <comment ref="C20" authorId="0" shapeId="0">
      <text>
        <r>
          <rPr>
            <sz val="9"/>
            <rFont val="宋体"/>
            <family val="3"/>
            <charset val="134"/>
          </rPr>
          <t>&lt;g_item(3220000_00017)&gt;</t>
        </r>
      </text>
    </comment>
    <comment ref="D20" authorId="0" shapeId="0">
      <text>
        <r>
          <rPr>
            <sz val="9"/>
            <rFont val="宋体"/>
            <family val="3"/>
            <charset val="134"/>
          </rPr>
          <t>&lt;g_item(3220000_00038)&gt;</t>
        </r>
      </text>
    </comment>
    <comment ref="C21" authorId="1" shapeId="0">
      <text>
        <r>
          <rPr>
            <sz val="9"/>
            <rFont val="宋体"/>
            <family val="3"/>
            <charset val="134"/>
          </rPr>
          <t>&lt;g_item(S01_00018)&gt;/wan</t>
        </r>
      </text>
    </comment>
    <comment ref="D21" authorId="1" shapeId="0">
      <text>
        <r>
          <rPr>
            <sz val="9"/>
            <rFont val="宋体"/>
            <family val="3"/>
            <charset val="134"/>
          </rPr>
          <t xml:space="preserve">&lt;g_item(S01_00039)&gt;/wan
</t>
        </r>
      </text>
    </comment>
    <comment ref="C22" authorId="1" shapeId="0">
      <text>
        <r>
          <rPr>
            <sz val="9"/>
            <rFont val="宋体"/>
            <family val="3"/>
            <charset val="134"/>
          </rPr>
          <t xml:space="preserve">&lt;g_item(S01_00019)&gt;/wan
</t>
        </r>
      </text>
    </comment>
    <comment ref="D22" authorId="1" shapeId="0">
      <text>
        <r>
          <rPr>
            <sz val="9"/>
            <rFont val="宋体"/>
            <family val="3"/>
            <charset val="134"/>
          </rPr>
          <t xml:space="preserve">&lt;g_item(S01_00040)&gt;/wan
</t>
        </r>
      </text>
    </comment>
    <comment ref="C23" authorId="1" shapeId="0">
      <text>
        <r>
          <rPr>
            <sz val="9"/>
            <rFont val="宋体"/>
            <family val="3"/>
            <charset val="134"/>
          </rPr>
          <t xml:space="preserve">&lt;g_item(S01_00020)&gt;/wan
</t>
        </r>
      </text>
    </comment>
    <comment ref="D23" authorId="1" shapeId="0">
      <text>
        <r>
          <rPr>
            <sz val="9"/>
            <rFont val="宋体"/>
            <family val="3"/>
            <charset val="134"/>
          </rPr>
          <t xml:space="preserve">&lt;g_item(S01_00041)&gt;/wan
</t>
        </r>
      </text>
    </comment>
    <comment ref="C24" authorId="1" shapeId="0">
      <text>
        <r>
          <rPr>
            <sz val="9"/>
            <rFont val="宋体"/>
            <family val="3"/>
            <charset val="134"/>
          </rPr>
          <t xml:space="preserve">&lt;g_item(S01_00021)&gt;/wan
</t>
        </r>
      </text>
    </comment>
    <comment ref="D24" authorId="1" shapeId="0">
      <text>
        <r>
          <rPr>
            <sz val="9"/>
            <rFont val="宋体"/>
            <family val="3"/>
            <charset val="134"/>
          </rPr>
          <t xml:space="preserve">&lt;g_item(S01_00042)&gt;/wan
</t>
        </r>
      </text>
    </comment>
  </commentList>
</comments>
</file>

<file path=xl/sharedStrings.xml><?xml version="1.0" encoding="utf-8"?>
<sst xmlns="http://schemas.openxmlformats.org/spreadsheetml/2006/main" count="216" uniqueCount="147">
  <si>
    <t>因子代码</t>
  </si>
  <si>
    <t>因子名称</t>
  </si>
  <si>
    <t>值</t>
  </si>
  <si>
    <t>因子值类型（01 短文本类型 
02 描述型 
03 文件型 
04 数值型
05 数量型
06 百分比型）</t>
  </si>
  <si>
    <t>说明</t>
  </si>
  <si>
    <t>3210000_00001</t>
  </si>
  <si>
    <t>公司中文名称</t>
  </si>
  <si>
    <t>公司信息-季度快报</t>
  </si>
  <si>
    <t>3210000_00002</t>
  </si>
  <si>
    <t>公司英文名称</t>
  </si>
  <si>
    <t>3210000_00003</t>
  </si>
  <si>
    <t>联系人姓名</t>
  </si>
  <si>
    <t>3210000_00004</t>
  </si>
  <si>
    <t>联系人办公室电话</t>
  </si>
  <si>
    <t>3210000_00005</t>
  </si>
  <si>
    <t>联系人移动电话</t>
  </si>
  <si>
    <t>3210000_00006</t>
  </si>
  <si>
    <t>联系人电子信箱</t>
  </si>
  <si>
    <t>3220000_00001</t>
  </si>
  <si>
    <t>认可资产-期末数</t>
  </si>
  <si>
    <t>主要指标-季度快报</t>
  </si>
  <si>
    <t>3220000_00002</t>
  </si>
  <si>
    <t>认可负债-期末数</t>
  </si>
  <si>
    <t>3220000_00003</t>
  </si>
  <si>
    <t>实际资本-期末数</t>
  </si>
  <si>
    <t>3220000_00004</t>
  </si>
  <si>
    <t>核心一级资本-期末数</t>
  </si>
  <si>
    <t>3220000_00005</t>
  </si>
  <si>
    <t>核心二级资本</t>
  </si>
  <si>
    <t>3220000_00006</t>
  </si>
  <si>
    <t>附属一级资本-期末数</t>
  </si>
  <si>
    <t>3220000_00007</t>
  </si>
  <si>
    <t>附属二级资本</t>
  </si>
  <si>
    <t>3220000_00008</t>
  </si>
  <si>
    <t>最低资本-期末数</t>
  </si>
  <si>
    <t>3220000_00009</t>
  </si>
  <si>
    <t>量化风险最低资本-期末数</t>
  </si>
  <si>
    <t>3220000_00010</t>
  </si>
  <si>
    <t>寿险业务保险风险最低资本-期末数</t>
  </si>
  <si>
    <t>3220000_00011</t>
  </si>
  <si>
    <t>非寿险业务保险风险最低资本-期末数</t>
  </si>
  <si>
    <t>3220000_00012</t>
  </si>
  <si>
    <t>市场风险最低资本-期末数</t>
  </si>
  <si>
    <t>3220000_00013</t>
  </si>
  <si>
    <t>信用风险最低资本-期末数</t>
  </si>
  <si>
    <t>3220000_00014</t>
  </si>
  <si>
    <t>量化风险分散效应-期末数</t>
  </si>
  <si>
    <t>3220000_00015</t>
  </si>
  <si>
    <t>特定类别保险合同损失吸收效应-期末数</t>
  </si>
  <si>
    <t>3220000_00016</t>
  </si>
  <si>
    <t>控制风险最低资本</t>
  </si>
  <si>
    <t>3220000_00017</t>
  </si>
  <si>
    <t>附加资本-期末数</t>
  </si>
  <si>
    <t>3220000_00018</t>
  </si>
  <si>
    <t>核心偿付能力溢额-期末数</t>
  </si>
  <si>
    <t>3220000_00019</t>
  </si>
  <si>
    <t>核心偿付能力充足率-期末数</t>
  </si>
  <si>
    <t>3220000_00020</t>
  </si>
  <si>
    <t>综合偿付能力溢额-期末数</t>
  </si>
  <si>
    <t>3220000_00021</t>
  </si>
  <si>
    <t>综合偿付能力充足率-期末数</t>
  </si>
  <si>
    <t>3220000_00022</t>
  </si>
  <si>
    <t>认可资产-期初数</t>
  </si>
  <si>
    <t>3220000_00023</t>
  </si>
  <si>
    <t>认可负债-期初数</t>
  </si>
  <si>
    <t>3220000_00024</t>
  </si>
  <si>
    <t>实际资本-期初数</t>
  </si>
  <si>
    <t>3220000_00025</t>
  </si>
  <si>
    <t>核心一级资本-期初数</t>
  </si>
  <si>
    <t>3220000_00026</t>
  </si>
  <si>
    <t>3220000_00027</t>
  </si>
  <si>
    <t>附属一级资本-期初数</t>
  </si>
  <si>
    <t>3220000_00028</t>
  </si>
  <si>
    <t>3220000_00029</t>
  </si>
  <si>
    <t>最低资本-期初数</t>
  </si>
  <si>
    <t>3220000_00030</t>
  </si>
  <si>
    <t>量化风险最低资本-期初数</t>
  </si>
  <si>
    <t>3220000_00031</t>
  </si>
  <si>
    <t>寿险业务保险风险最低资本-期初数</t>
  </si>
  <si>
    <t>3220000_00032</t>
  </si>
  <si>
    <t>非寿险业务保险风险最低资本-期初数</t>
  </si>
  <si>
    <t>3220000_00033</t>
  </si>
  <si>
    <t>市场风险最低资本-期初数</t>
  </si>
  <si>
    <t>3220000_00034</t>
  </si>
  <si>
    <t>信用风险最低资本-期初数</t>
  </si>
  <si>
    <t>3220000_00035</t>
  </si>
  <si>
    <t>量化风险分散效应-期初数</t>
  </si>
  <si>
    <t>3220000_00036</t>
  </si>
  <si>
    <t>特定类别保险合同损失吸收效应-期初数</t>
  </si>
  <si>
    <t>3220000_00037</t>
  </si>
  <si>
    <t>3220000_00038</t>
  </si>
  <si>
    <t>附加资本-期初数</t>
  </si>
  <si>
    <t>3220000_00039</t>
  </si>
  <si>
    <t>核心偿付能力溢额-期初数</t>
  </si>
  <si>
    <t>3220000_00040</t>
  </si>
  <si>
    <t>核心偿付能力充足率-期初数</t>
  </si>
  <si>
    <t>3220000_00041</t>
  </si>
  <si>
    <t>综合偿付能力溢额-期初数</t>
  </si>
  <si>
    <t>3220000_00042</t>
  </si>
  <si>
    <t>综合偿付能力充足率-期初数</t>
  </si>
  <si>
    <t>公司信息</t>
  </si>
  <si>
    <t>公司名称：</t>
  </si>
  <si>
    <t>行次</t>
  </si>
  <si>
    <t>项目</t>
  </si>
  <si>
    <t>1</t>
  </si>
  <si>
    <t>2</t>
  </si>
  <si>
    <t>3</t>
  </si>
  <si>
    <t>4</t>
  </si>
  <si>
    <t>5</t>
  </si>
  <si>
    <t>6</t>
  </si>
  <si>
    <t>主要指标</t>
  </si>
  <si>
    <t>期末数</t>
  </si>
  <si>
    <t>期初数</t>
  </si>
  <si>
    <t>认可资产</t>
  </si>
  <si>
    <t>认可负债</t>
  </si>
  <si>
    <t>实际资本</t>
  </si>
  <si>
    <t>3.1</t>
  </si>
  <si>
    <t>核心一级资本</t>
  </si>
  <si>
    <t>3.2</t>
  </si>
  <si>
    <t>3.3</t>
  </si>
  <si>
    <t>附属一级资本</t>
  </si>
  <si>
    <t>3.4</t>
  </si>
  <si>
    <t>最低资本</t>
  </si>
  <si>
    <t>4.1</t>
  </si>
  <si>
    <t>量化风险最低资本</t>
  </si>
  <si>
    <t>4.1.1</t>
  </si>
  <si>
    <t>寿险业务保险风险最低资本</t>
  </si>
  <si>
    <t>4.1.2</t>
  </si>
  <si>
    <t>非寿险业务保险风险最低资本</t>
  </si>
  <si>
    <t>4.1.3</t>
  </si>
  <si>
    <t>市场风险最低资本</t>
  </si>
  <si>
    <t>4.1.4</t>
  </si>
  <si>
    <t>信用风险最低资本</t>
  </si>
  <si>
    <t>4.1.5</t>
  </si>
  <si>
    <t>量化风险分散效应</t>
  </si>
  <si>
    <t>4.1.6</t>
  </si>
  <si>
    <t>特定类别保险合同损失吸收效应</t>
  </si>
  <si>
    <t>4.2</t>
  </si>
  <si>
    <t>4.3</t>
  </si>
  <si>
    <t>附加资本</t>
  </si>
  <si>
    <t>核心偿付能力溢额</t>
  </si>
  <si>
    <t>核心偿付能力充足率</t>
  </si>
  <si>
    <t>此行保留四位小数</t>
  </si>
  <si>
    <t>7</t>
  </si>
  <si>
    <t>综合偿付能力溢额</t>
  </si>
  <si>
    <t>8</t>
  </si>
  <si>
    <t>综合偿付能力充足率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</si>
</sst>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 * #,##0.00_ ;_ * \-#,##0.00_ ;_ * &quot;-&quot;??_ ;_ @_ "/>
    <numFmt numFmtId="176" formatCode="_ * #,##0.0000_ ;_ * \-#,##0.0000_ ;_ * &quot;-&quot;????_ ;_ @_ "/>
    <numFmt numFmtId="177" formatCode="[$-F800]dddd\,\ mmmm\ dd\,\ yyyy"/>
    <numFmt numFmtId="178" formatCode="0.00_ "/>
  </numFmts>
  <fonts count="18">
    <font>
      <sz val="11"/>
      <color indexed="8"/>
      <name val="宋体"/>
      <charset val="134"/>
    </font>
    <font>
      <sz val="18"/>
      <color indexed="8"/>
      <name val="黑体"/>
      <charset val="134"/>
    </font>
    <font>
      <b/>
      <sz val="14"/>
      <color indexed="8"/>
      <name val="宋体"/>
      <charset val="134"/>
    </font>
    <font>
      <b/>
      <sz val="14"/>
      <color indexed="9"/>
      <name val="宋体"/>
      <charset val="134"/>
    </font>
    <font>
      <b/>
      <sz val="11"/>
      <name val="Times New Roman"/>
      <family val="1"/>
    </font>
    <font>
      <b/>
      <sz val="11"/>
      <name val="宋体"/>
      <charset val="134"/>
    </font>
    <font>
      <sz val="11"/>
      <name val="宋体"/>
      <charset val="134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color indexed="8"/>
      <name val="Times New Roman"/>
      <family val="1"/>
    </font>
    <font>
      <b/>
      <sz val="11"/>
      <color indexed="8"/>
      <name val="宋体"/>
      <charset val="134"/>
    </font>
    <font>
      <sz val="11"/>
      <color indexed="10"/>
      <name val="宋体"/>
      <charset val="134"/>
    </font>
    <font>
      <b/>
      <sz val="11"/>
      <color indexed="9"/>
      <name val="宋体"/>
      <charset val="134"/>
    </font>
    <font>
      <b/>
      <sz val="14"/>
      <color indexed="10"/>
      <name val="宋体"/>
      <charset val="134"/>
    </font>
    <font>
      <sz val="11"/>
      <color indexed="8"/>
      <name val="宋体"/>
      <charset val="134"/>
    </font>
    <font>
      <sz val="9"/>
      <name val="宋体"/>
      <charset val="134"/>
    </font>
    <font>
      <sz val="12"/>
      <color rgb="FF000000"/>
      <name val="MS PGothic"/>
      <family val="2"/>
      <charset val="128"/>
    </font>
    <font>
      <sz val="9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10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4">
    <xf numFmtId="0" fontId="0" fillId="0" borderId="0">
      <alignment vertical="center"/>
    </xf>
    <xf numFmtId="177" fontId="14" fillId="0" borderId="0">
      <alignment vertical="center"/>
    </xf>
    <xf numFmtId="0" fontId="14" fillId="0" borderId="0">
      <alignment vertical="center"/>
    </xf>
    <xf numFmtId="177" fontId="14" fillId="0" borderId="0">
      <alignment vertical="center"/>
    </xf>
  </cellStyleXfs>
  <cellXfs count="56">
    <xf numFmtId="0" fontId="0" fillId="0" borderId="0" xfId="0">
      <alignment vertical="center"/>
    </xf>
    <xf numFmtId="177" fontId="5" fillId="0" borderId="4" xfId="3" applyFont="1" applyFill="1" applyBorder="1" applyAlignment="1" applyProtection="1">
      <alignment horizontal="left" vertical="center" wrapText="1"/>
      <protection locked="0"/>
    </xf>
    <xf numFmtId="43" fontId="7" fillId="3" borderId="4" xfId="3" applyNumberFormat="1" applyFont="1" applyFill="1" applyBorder="1" applyAlignment="1" applyProtection="1">
      <alignment horizontal="center" vertical="center"/>
    </xf>
    <xf numFmtId="43" fontId="8" fillId="3" borderId="4" xfId="3" applyNumberFormat="1" applyFont="1" applyFill="1" applyBorder="1" applyAlignment="1" applyProtection="1">
      <alignment vertical="center"/>
    </xf>
    <xf numFmtId="177" fontId="6" fillId="0" borderId="4" xfId="3" applyFont="1" applyFill="1" applyBorder="1" applyAlignment="1" applyProtection="1">
      <alignment horizontal="left" vertical="center" wrapText="1" indent="1"/>
      <protection locked="0"/>
    </xf>
    <xf numFmtId="177" fontId="6" fillId="0" borderId="4" xfId="3" applyFont="1" applyFill="1" applyBorder="1" applyAlignment="1" applyProtection="1">
      <alignment horizontal="left" vertical="center" wrapText="1" indent="2"/>
      <protection locked="0"/>
    </xf>
    <xf numFmtId="177" fontId="5" fillId="0" borderId="4" xfId="3" applyFont="1" applyBorder="1" applyAlignment="1" applyProtection="1">
      <alignment horizontal="left" vertical="center" wrapText="1"/>
      <protection locked="0"/>
    </xf>
    <xf numFmtId="178" fontId="0" fillId="0" borderId="0" xfId="0" applyNumberFormat="1">
      <alignment vertical="center"/>
    </xf>
    <xf numFmtId="0" fontId="13" fillId="4" borderId="4" xfId="0" applyNumberFormat="1" applyFont="1" applyFill="1" applyBorder="1" applyAlignment="1">
      <alignment horizontal="center" vertical="center"/>
    </xf>
    <xf numFmtId="0" fontId="13" fillId="4" borderId="4" xfId="0" applyNumberFormat="1" applyFont="1" applyFill="1" applyBorder="1" applyAlignment="1">
      <alignment vertical="center" wrapText="1"/>
    </xf>
    <xf numFmtId="178" fontId="13" fillId="4" borderId="4" xfId="0" applyNumberFormat="1" applyFont="1" applyFill="1" applyBorder="1" applyAlignment="1">
      <alignment horizontal="center" vertical="center"/>
    </xf>
    <xf numFmtId="0" fontId="13" fillId="4" borderId="4" xfId="0" applyNumberFormat="1" applyFont="1" applyFill="1" applyBorder="1" applyAlignment="1">
      <alignment horizontal="center" vertical="center" wrapText="1"/>
    </xf>
    <xf numFmtId="0" fontId="0" fillId="0" borderId="4" xfId="0" applyFont="1" applyBorder="1" applyAlignment="1">
      <alignment horizontal="left" vertical="center"/>
    </xf>
    <xf numFmtId="178" fontId="0" fillId="0" borderId="4" xfId="0" applyNumberFormat="1" applyBorder="1">
      <alignment vertical="center"/>
    </xf>
    <xf numFmtId="0" fontId="0" fillId="0" borderId="4" xfId="0" applyBorder="1">
      <alignment vertical="center"/>
    </xf>
    <xf numFmtId="0" fontId="0" fillId="0" borderId="4" xfId="0" applyFont="1" applyFill="1" applyBorder="1" applyAlignment="1">
      <alignment vertical="center"/>
    </xf>
    <xf numFmtId="177" fontId="6" fillId="0" borderId="4" xfId="3" applyFont="1" applyBorder="1" applyAlignment="1" applyProtection="1">
      <alignment horizontal="left" vertical="center" wrapText="1" indent="1"/>
      <protection locked="0"/>
    </xf>
    <xf numFmtId="177" fontId="10" fillId="0" borderId="4" xfId="3" applyFont="1" applyBorder="1" applyProtection="1">
      <alignment vertical="center"/>
      <protection locked="0"/>
    </xf>
    <xf numFmtId="177" fontId="6" fillId="0" borderId="4" xfId="3" applyFont="1" applyBorder="1" applyAlignment="1" applyProtection="1">
      <alignment horizontal="left" vertical="center" wrapText="1" indent="2"/>
      <protection locked="0"/>
    </xf>
    <xf numFmtId="0" fontId="0" fillId="0" borderId="7" xfId="0" applyFont="1" applyBorder="1" applyAlignment="1">
      <alignment horizontal="left" vertical="center"/>
    </xf>
    <xf numFmtId="177" fontId="10" fillId="0" borderId="7" xfId="3" applyFont="1" applyBorder="1" applyProtection="1">
      <alignment vertical="center"/>
      <protection locked="0"/>
    </xf>
    <xf numFmtId="178" fontId="0" fillId="0" borderId="7" xfId="0" applyNumberFormat="1" applyBorder="1">
      <alignment vertical="center"/>
    </xf>
    <xf numFmtId="0" fontId="0" fillId="0" borderId="7" xfId="0" applyBorder="1">
      <alignment vertical="center"/>
    </xf>
    <xf numFmtId="0" fontId="0" fillId="0" borderId="7" xfId="0" applyFont="1" applyFill="1" applyBorder="1" applyAlignment="1">
      <alignment vertical="center"/>
    </xf>
    <xf numFmtId="43" fontId="9" fillId="3" borderId="4" xfId="3" applyNumberFormat="1" applyFont="1" applyFill="1" applyBorder="1" applyProtection="1">
      <alignment vertical="center"/>
    </xf>
    <xf numFmtId="43" fontId="9" fillId="3" borderId="8" xfId="3" applyNumberFormat="1" applyFont="1" applyFill="1" applyBorder="1" applyProtection="1">
      <alignment vertical="center"/>
    </xf>
    <xf numFmtId="176" fontId="9" fillId="3" borderId="4" xfId="3" applyNumberFormat="1" applyFont="1" applyFill="1" applyBorder="1" applyProtection="1">
      <alignment vertical="center"/>
    </xf>
    <xf numFmtId="176" fontId="9" fillId="3" borderId="8" xfId="3" applyNumberFormat="1" applyFont="1" applyFill="1" applyBorder="1" applyProtection="1">
      <alignment vertical="center"/>
    </xf>
    <xf numFmtId="176" fontId="9" fillId="3" borderId="6" xfId="3" applyNumberFormat="1" applyFont="1" applyFill="1" applyBorder="1" applyProtection="1">
      <alignment vertical="center"/>
    </xf>
    <xf numFmtId="176" fontId="9" fillId="3" borderId="9" xfId="3" applyNumberFormat="1" applyFont="1" applyFill="1" applyBorder="1" applyProtection="1">
      <alignment vertical="center"/>
    </xf>
    <xf numFmtId="177" fontId="1" fillId="0" borderId="0" xfId="3" applyFont="1" applyFill="1" applyAlignment="1" applyProtection="1">
      <alignment horizontal="center" vertical="center"/>
    </xf>
    <xf numFmtId="0" fontId="0" fillId="0" borderId="0" xfId="0" applyProtection="1">
      <alignment vertical="center"/>
    </xf>
    <xf numFmtId="177" fontId="2" fillId="0" borderId="0" xfId="3" applyNumberFormat="1" applyFont="1" applyFill="1" applyAlignment="1" applyProtection="1">
      <alignment horizontal="left" vertical="center"/>
    </xf>
    <xf numFmtId="177" fontId="3" fillId="2" borderId="1" xfId="3" applyNumberFormat="1" applyFont="1" applyFill="1" applyBorder="1" applyAlignment="1" applyProtection="1">
      <alignment horizontal="center" vertical="center"/>
    </xf>
    <xf numFmtId="177" fontId="3" fillId="2" borderId="2" xfId="3" applyFont="1" applyFill="1" applyBorder="1" applyAlignment="1" applyProtection="1">
      <alignment horizontal="center" vertical="center"/>
    </xf>
    <xf numFmtId="177" fontId="4" fillId="0" borderId="3" xfId="3" applyNumberFormat="1" applyFont="1" applyFill="1" applyBorder="1" applyAlignment="1" applyProtection="1">
      <alignment horizontal="left" vertical="center"/>
    </xf>
    <xf numFmtId="177" fontId="5" fillId="0" borderId="4" xfId="3" applyFont="1" applyFill="1" applyBorder="1" applyAlignment="1" applyProtection="1">
      <alignment horizontal="left" vertical="center" wrapText="1"/>
    </xf>
    <xf numFmtId="177" fontId="8" fillId="0" borderId="3" xfId="3" applyNumberFormat="1" applyFont="1" applyFill="1" applyBorder="1" applyAlignment="1" applyProtection="1">
      <alignment horizontal="left" vertical="center"/>
    </xf>
    <xf numFmtId="177" fontId="6" fillId="0" borderId="4" xfId="3" applyFont="1" applyFill="1" applyBorder="1" applyAlignment="1" applyProtection="1">
      <alignment horizontal="left" vertical="center" wrapText="1" indent="1"/>
    </xf>
    <xf numFmtId="177" fontId="9" fillId="0" borderId="3" xfId="3" applyNumberFormat="1" applyFont="1" applyFill="1" applyBorder="1" applyAlignment="1" applyProtection="1">
      <alignment horizontal="left" vertical="center"/>
    </xf>
    <xf numFmtId="177" fontId="10" fillId="0" borderId="4" xfId="3" applyFont="1" applyFill="1" applyBorder="1" applyAlignment="1" applyProtection="1">
      <alignment vertical="center"/>
    </xf>
    <xf numFmtId="177" fontId="6" fillId="0" borderId="4" xfId="3" applyFont="1" applyFill="1" applyBorder="1" applyAlignment="1" applyProtection="1">
      <alignment horizontal="left" vertical="center" wrapText="1" indent="2"/>
    </xf>
    <xf numFmtId="0" fontId="11" fillId="0" borderId="0" xfId="0" applyFont="1" applyProtection="1">
      <alignment vertical="center"/>
    </xf>
    <xf numFmtId="177" fontId="9" fillId="0" borderId="5" xfId="3" applyNumberFormat="1" applyFont="1" applyFill="1" applyBorder="1" applyAlignment="1" applyProtection="1">
      <alignment horizontal="left" vertical="center"/>
    </xf>
    <xf numFmtId="177" fontId="10" fillId="0" borderId="6" xfId="3" applyFont="1" applyFill="1" applyBorder="1" applyAlignment="1" applyProtection="1">
      <alignment vertical="center"/>
    </xf>
    <xf numFmtId="43" fontId="6" fillId="3" borderId="4" xfId="3" applyNumberFormat="1" applyFont="1" applyFill="1" applyBorder="1" applyAlignment="1" applyProtection="1">
      <alignment horizontal="center" vertical="center"/>
      <protection locked="0"/>
    </xf>
    <xf numFmtId="43" fontId="7" fillId="3" borderId="4" xfId="3" applyNumberFormat="1" applyFont="1" applyFill="1" applyBorder="1" applyAlignment="1" applyProtection="1">
      <alignment horizontal="center" vertical="center"/>
      <protection locked="0"/>
    </xf>
    <xf numFmtId="43" fontId="9" fillId="3" borderId="4" xfId="3" applyNumberFormat="1" applyFont="1" applyFill="1" applyBorder="1" applyAlignment="1" applyProtection="1">
      <alignment vertical="center"/>
      <protection locked="0"/>
    </xf>
    <xf numFmtId="177" fontId="1" fillId="0" borderId="0" xfId="3" applyFont="1" applyAlignment="1" applyProtection="1">
      <alignment horizontal="center" vertical="center"/>
    </xf>
    <xf numFmtId="177" fontId="12" fillId="2" borderId="1" xfId="3" applyNumberFormat="1" applyFont="1" applyFill="1" applyBorder="1" applyAlignment="1" applyProtection="1">
      <alignment horizontal="center" vertical="center"/>
    </xf>
    <xf numFmtId="177" fontId="4" fillId="0" borderId="3" xfId="3" quotePrefix="1" applyNumberFormat="1" applyFont="1" applyBorder="1" applyAlignment="1" applyProtection="1">
      <alignment horizontal="left" vertical="center"/>
    </xf>
    <xf numFmtId="177" fontId="5" fillId="0" borderId="4" xfId="3" applyFont="1" applyBorder="1" applyAlignment="1" applyProtection="1">
      <alignment horizontal="left" vertical="center" wrapText="1"/>
    </xf>
    <xf numFmtId="177" fontId="5" fillId="0" borderId="3" xfId="3" quotePrefix="1" applyNumberFormat="1" applyFont="1" applyFill="1" applyBorder="1" applyAlignment="1" applyProtection="1">
      <alignment horizontal="left" vertical="center"/>
    </xf>
    <xf numFmtId="43" fontId="7" fillId="3" borderId="4" xfId="1" applyNumberFormat="1" applyFont="1" applyFill="1" applyBorder="1" applyAlignment="1" applyProtection="1">
      <alignment horizontal="center" vertical="center"/>
      <protection locked="0"/>
    </xf>
    <xf numFmtId="49" fontId="8" fillId="3" borderId="4" xfId="1" applyNumberFormat="1" applyFont="1" applyFill="1" applyBorder="1" applyProtection="1">
      <alignment vertical="center"/>
      <protection locked="0"/>
    </xf>
    <xf numFmtId="49" fontId="8" fillId="3" borderId="4" xfId="1" applyNumberFormat="1" applyFont="1" applyFill="1" applyBorder="1" applyAlignment="1" applyProtection="1">
      <alignment vertical="center"/>
      <protection locked="0"/>
    </xf>
  </cellXfs>
  <cellStyles count="4">
    <cellStyle name="常规" xfId="0" builtinId="0"/>
    <cellStyle name="常规 2" xfId="2"/>
    <cellStyle name="常规 5" xfId="3"/>
    <cellStyle name="常规 5 2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9525</xdr:rowOff>
        </xdr:from>
        <xdr:to>
          <xdr:col>1</xdr:col>
          <xdr:colOff>419100</xdr:colOff>
          <xdr:row>0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S PGothic"/>
                  <a:ea typeface="MS PGothic"/>
                </a:rPr>
                <a:t>返回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20445;&#30417;&#20250;&#25991;&#20214;/&#20851;&#20110;&#21360;&#21457;&#20607;&#20108;&#20195;&#23395;&#24230;&#25253;&#21578;&#26377;&#20851;&#32534;&#25253;&#22522;&#30784;&#25991;&#20214;&#30340;&#36890;&#30693;%20&#38468;&#20214;1(1).&#20445;&#38505;&#20844;&#21496;&#20607;&#20184;&#33021;&#21147;&#23395;&#24230;&#25253;&#21578;EXCEL&#26679;&#34920;&#65288;2015-12%20(&#29256;&#26412;%201&#23436;&#21892;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file:///\\&#12298;&#20445;&#38505;&#20844;&#21496;&#20607;&#20184;&#33021;&#21147;&#23395;&#24230;&#25253;&#21578;EXCEL&#26679;&#34920;&#65288;2015-7-1&#65289;&#12299;-cor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01#"/>
      <sheetName val="A02#"/>
      <sheetName val="Database"/>
      <sheetName val="说明"/>
      <sheetName val="封面"/>
      <sheetName val="AceSol"/>
      <sheetName val="C01-公司信息"/>
      <sheetName val="目录"/>
      <sheetName val="S01-偿付能力状况表"/>
      <sheetName val="S02-实际资本表"/>
      <sheetName val="S03-认可资产表"/>
      <sheetName val="S04-认可负债表"/>
      <sheetName val="S05-寿险合同未到期责任准备金负债"/>
      <sheetName val="S06_01－资本工具表"/>
      <sheetName val="S06_02-资本工具表"/>
      <sheetName val="S06_03-资本工具表"/>
      <sheetName val="S06_04-资本工具表"/>
      <sheetName val="S07-最低资本表"/>
      <sheetName val="IR01-财险和人身险公司非寿险业务保险风险-保费和准备金风险"/>
      <sheetName val="IR02-财险和人身险公司非寿险业务保险风险-巨灾风险"/>
      <sheetName val="IR03-再保险公司非寿险再保险业务保险风险-保费和准备金风险"/>
      <sheetName val="IR04-再保险公司非寿险再保险业务保险风险-巨灾风险"/>
      <sheetName val="IR05-寿险业务保险风险"/>
      <sheetName val="MR01-人身保险公司利率风险"/>
      <sheetName val="MR02-再保险公司利率风险"/>
      <sheetName val="MR03_01-利率风险－债券类资产（未套保及不符合条件套保）"/>
      <sheetName val="MR03_02-利率风险－债券类资产（未套保及不符合条件套保)"/>
      <sheetName val="MR03_03-利率风险－债券类资产（未套保及不符合条件套保）"/>
      <sheetName val="MR03_04-利率风险-债券类资产（未套保及不符合条件套保）"/>
      <sheetName val="MR03_05-利率风险-债券类资产（未套保及不符合条件套保）"/>
      <sheetName val="MR03_06-利率风险-债券类资产（未套保及不符合条件套保）"/>
      <sheetName val="MR03_07-利率风险-债券类资产（未套保及不符合条件套保）"/>
      <sheetName val="MR03_08-利率风险-债券类资产（未套保及不符合条件套保）"/>
      <sheetName val="MR04_01-利率风险-资产证券化产品"/>
      <sheetName val="MR04_02-利率风险-资产证券化产品"/>
      <sheetName val="MR04_03-利率风险-资产证券化产品"/>
      <sheetName val="MR04_04-利率风险-资产证券化产品"/>
      <sheetName val="MR05_01-利率风险-利率类金融衍生品-利率互换"/>
      <sheetName val="MR05_02-利率风险-利率类金融衍生品-利率互换"/>
      <sheetName val="MR06-利率风险-利率类金融衍生品-国债期货（符合条件套保）"/>
      <sheetName val="MR07-利率风险-利率类金融衍生品-国债期货（未套保）"/>
      <sheetName val="MR08-利率风险-其他固定收益类产品"/>
      <sheetName val="MR09_01"/>
      <sheetName val="MR09_02"/>
      <sheetName val="MR10-权益价格风险-股票（符合条件的套期保值）"/>
      <sheetName val="MR11_01-权益价格风险-未上市股权"/>
      <sheetName val="MR11_02-权益价格风险-未上市股权"/>
      <sheetName val="MR12_01-权益价格风险-证券投资基金"/>
      <sheetName val="MR12_02-权益价格风险-证券投资基金"/>
      <sheetName val="MR12_03-权益价格风险-证券投资基金"/>
      <sheetName val="MR12_04-权益价格风险-证券投资基金"/>
      <sheetName val="MR12_05-权益价格风险-证券投资基金"/>
      <sheetName val="MR12_06-权益价格风险-证券投资基金"/>
      <sheetName val="MR12_07-权益价格风险-证券投资基金"/>
      <sheetName val="MR12_08-权益价格风险-证券投资基金"/>
      <sheetName val="MR13_01"/>
      <sheetName val="MR13_02"/>
      <sheetName val="MR13_03"/>
      <sheetName val="MR13_04"/>
      <sheetName val="MR13_05"/>
      <sheetName val="MR13_06"/>
      <sheetName val="MR13_07"/>
      <sheetName val="MR13_08"/>
      <sheetName val="MR14_01-权益价格风险-可转债"/>
      <sheetName val="MR14_02-权益价格风险-可转债"/>
      <sheetName val="MR15_01-权益价格风险-基础设施股权投资计划"/>
      <sheetName val="MR15_02-权益价格风险-基础设施股权投资计划"/>
      <sheetName val="MR16_01-权益价格风险-资产管理产品"/>
      <sheetName val="MR16_02-权益价格风险-资产管理产品"/>
      <sheetName val="MR16_03-权益价格风险-资产管理产品"/>
      <sheetName val="MR16_04-权益价格风险-资产管理产品"/>
      <sheetName val="MR16_05-权益价格风险-资产管理产品"/>
      <sheetName val="MR16_06-权益价格风险-资产管理产品"/>
      <sheetName val="MR16_07-权益价格风险-资产管理产品"/>
      <sheetName val="MR16_08-权益价格风险-资产管理产品"/>
      <sheetName val="MR17_01-权益价格风险-未上市股权投资计划"/>
      <sheetName val="MR17_02-权益价格风险-未上市股权投资计划"/>
      <sheetName val="MR18_01-权益价格风险-权益类信托计划"/>
      <sheetName val="MR18_02-权益价格风险-权益类信托计划"/>
      <sheetName val="MR19-权益价格风险-股指期货空头（不符合有效性）"/>
      <sheetName val="MR20_01"/>
      <sheetName val="MR20_02"/>
      <sheetName val="MR20_03"/>
      <sheetName val="MR20_04"/>
      <sheetName val="MR20_05"/>
      <sheetName val="MR20_06"/>
      <sheetName val="MR20_07"/>
      <sheetName val="MR20_08"/>
      <sheetName val="MR20_09"/>
      <sheetName val="MR20_10"/>
      <sheetName val="MR20_11"/>
      <sheetName val="MR20_12"/>
      <sheetName val="MR21_01"/>
      <sheetName val="MR21_02"/>
      <sheetName val="MR21_03"/>
      <sheetName val="MR21_04"/>
      <sheetName val="MR21_05"/>
      <sheetName val="MR21_06"/>
      <sheetName val="MR21_07"/>
      <sheetName val="MR21_08"/>
      <sheetName val="MR21_09"/>
      <sheetName val="MR21_10"/>
      <sheetName val="MR21_11"/>
      <sheetName val="MR21_12"/>
      <sheetName val="MR22_01"/>
      <sheetName val="MR22_02"/>
      <sheetName val="MR22_03"/>
      <sheetName val="MR22_04"/>
      <sheetName val="MR23_01"/>
      <sheetName val="MR23_02"/>
      <sheetName val="MR23_03"/>
      <sheetName val="MR23_04"/>
      <sheetName val="MR24_01"/>
      <sheetName val="MR24_02"/>
      <sheetName val="MR24_03"/>
      <sheetName val="MR24_04"/>
      <sheetName val="MR25_01"/>
      <sheetName val="MR25_02"/>
      <sheetName val="MR25_03"/>
      <sheetName val="MR25_04"/>
      <sheetName val="MR26_01"/>
      <sheetName val="MR26_02"/>
      <sheetName val="MR26_03"/>
      <sheetName val="MR26_04"/>
      <sheetName val="MR27_01"/>
      <sheetName val="MR27_02"/>
      <sheetName val="MR28-汇率风险所涉项目明细表-有效套保外汇资产（负债）"/>
      <sheetName val="MR29-汇率风险所涉项目明细表-无效套保外汇远期资产（负债）"/>
      <sheetName val="CR01_01"/>
      <sheetName val="CR01_02"/>
      <sheetName val="CR01_03"/>
      <sheetName val="CR01_04"/>
      <sheetName val="CR01_05"/>
      <sheetName val="CR02-交易对手违约风险-现金及流动性管理工具"/>
      <sheetName val="CR03_01"/>
      <sheetName val="CR03_02"/>
      <sheetName val="CR03_03"/>
      <sheetName val="CR03_04"/>
      <sheetName val="CR03_05"/>
      <sheetName val="CR03_06"/>
      <sheetName val="CR04-交易对手违约风险-金融债"/>
      <sheetName val="CR05-交易对手违约风险-企业债、公司债"/>
      <sheetName val="CR06-交易对手违约风险-资产证券化产品"/>
      <sheetName val="CR07-交易对手违约风险-商业银行理财产品"/>
      <sheetName val="CR08_01"/>
      <sheetName val="CR08_02"/>
      <sheetName val="CR09_01"/>
      <sheetName val="CR09_02"/>
      <sheetName val="CR09_03"/>
      <sheetName val="CR09_04"/>
      <sheetName val="CR09_05"/>
      <sheetName val="CR09_06"/>
      <sheetName val="CR09_07"/>
      <sheetName val="CR09_08"/>
      <sheetName val="CR09_09"/>
      <sheetName val="CR09_10"/>
      <sheetName val="CR10-交易对手违约风险-资产管理产品"/>
      <sheetName val="CR11_01"/>
      <sheetName val="CR11_02"/>
      <sheetName val="CR12-交易对手违约风险-不动产债权投资计划"/>
      <sheetName val="CR13-交易对手违约风险-项目资产支持计划"/>
      <sheetName val="CR14_01"/>
      <sheetName val="CR14_02"/>
      <sheetName val="CR15_01"/>
      <sheetName val="CR15_02"/>
      <sheetName val="CR15_03"/>
      <sheetName val="CR16_01"/>
      <sheetName val="CR16_02"/>
      <sheetName val="CR17-交易对手违约风险-分入业务再保险资产"/>
      <sheetName val="CR18-交易对手违约风险-应收保费"/>
      <sheetName val="CR19-交易对手违约风险-其他应收及预付款项"/>
      <sheetName val="CR20-交易对手违约风险-债务担保"/>
      <sheetName val="CR21-交易对手违约风险-保单质押贷款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《保险公司偿付能力季度报告EXCEL样表（2015-7-1）》"/>
    </sheetNames>
    <definedNames>
      <definedName name="ret" refersTo="#REF!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9"/>
  <sheetViews>
    <sheetView workbookViewId="0">
      <selection activeCell="C1" sqref="C1:C1048576"/>
    </sheetView>
  </sheetViews>
  <sheetFormatPr defaultColWidth="9" defaultRowHeight="13.5"/>
  <cols>
    <col min="1" max="1" width="17.875" customWidth="1"/>
    <col min="2" max="2" width="39.875" customWidth="1"/>
    <col min="3" max="3" width="22.25" style="7" customWidth="1"/>
    <col min="4" max="4" width="18.25" customWidth="1"/>
    <col min="5" max="5" width="17.625" customWidth="1"/>
  </cols>
  <sheetData>
    <row r="1" spans="1:5" ht="27" customHeight="1">
      <c r="A1" s="8" t="s">
        <v>0</v>
      </c>
      <c r="B1" s="9" t="s">
        <v>1</v>
      </c>
      <c r="C1" s="10" t="s">
        <v>2</v>
      </c>
      <c r="D1" s="11" t="s">
        <v>3</v>
      </c>
      <c r="E1" s="8" t="s">
        <v>4</v>
      </c>
    </row>
    <row r="2" spans="1:5" ht="22.5" customHeight="1">
      <c r="A2" s="12" t="s">
        <v>5</v>
      </c>
      <c r="B2" s="6" t="s">
        <v>6</v>
      </c>
      <c r="C2" s="13">
        <f>公司信息!C4</f>
        <v>0</v>
      </c>
      <c r="D2" s="14"/>
      <c r="E2" s="15" t="s">
        <v>7</v>
      </c>
    </row>
    <row r="3" spans="1:5" ht="22.5" customHeight="1">
      <c r="A3" s="12" t="s">
        <v>8</v>
      </c>
      <c r="B3" s="6" t="s">
        <v>9</v>
      </c>
      <c r="C3" s="13">
        <f>公司信息!C5</f>
        <v>0</v>
      </c>
      <c r="D3" s="14"/>
      <c r="E3" s="15" t="s">
        <v>7</v>
      </c>
    </row>
    <row r="4" spans="1:5" ht="22.5" customHeight="1">
      <c r="A4" s="12" t="s">
        <v>10</v>
      </c>
      <c r="B4" s="1" t="s">
        <v>11</v>
      </c>
      <c r="C4" s="13">
        <f>公司信息!C6</f>
        <v>0</v>
      </c>
      <c r="D4" s="14"/>
      <c r="E4" s="15" t="s">
        <v>7</v>
      </c>
    </row>
    <row r="5" spans="1:5" ht="22.5" customHeight="1">
      <c r="A5" s="12" t="s">
        <v>12</v>
      </c>
      <c r="B5" s="1" t="s">
        <v>13</v>
      </c>
      <c r="C5" s="13">
        <f>公司信息!C7</f>
        <v>0</v>
      </c>
      <c r="D5" s="14"/>
      <c r="E5" s="15" t="s">
        <v>7</v>
      </c>
    </row>
    <row r="6" spans="1:5" ht="22.5" customHeight="1">
      <c r="A6" s="12" t="s">
        <v>14</v>
      </c>
      <c r="B6" s="1" t="s">
        <v>15</v>
      </c>
      <c r="C6" s="13">
        <f>公司信息!C8</f>
        <v>0</v>
      </c>
      <c r="D6" s="14"/>
      <c r="E6" s="15" t="s">
        <v>7</v>
      </c>
    </row>
    <row r="7" spans="1:5" ht="22.5" customHeight="1">
      <c r="A7" s="12" t="s">
        <v>16</v>
      </c>
      <c r="B7" s="1" t="s">
        <v>17</v>
      </c>
      <c r="C7" s="13">
        <f>公司信息!C9</f>
        <v>0</v>
      </c>
      <c r="D7" s="14"/>
      <c r="E7" s="15" t="s">
        <v>7</v>
      </c>
    </row>
    <row r="8" spans="1:5" ht="22.5" customHeight="1">
      <c r="A8" s="12" t="s">
        <v>18</v>
      </c>
      <c r="B8" s="6" t="s">
        <v>19</v>
      </c>
      <c r="C8" s="13">
        <f>主要指标!C4</f>
        <v>0</v>
      </c>
      <c r="D8" s="14"/>
      <c r="E8" s="15" t="s">
        <v>20</v>
      </c>
    </row>
    <row r="9" spans="1:5" ht="22.5" customHeight="1">
      <c r="A9" s="12" t="s">
        <v>21</v>
      </c>
      <c r="B9" s="6" t="s">
        <v>22</v>
      </c>
      <c r="C9" s="13">
        <f>主要指标!C5</f>
        <v>0</v>
      </c>
      <c r="D9" s="14"/>
      <c r="E9" s="15" t="s">
        <v>20</v>
      </c>
    </row>
    <row r="10" spans="1:5" ht="22.5" customHeight="1">
      <c r="A10" s="12" t="s">
        <v>23</v>
      </c>
      <c r="B10" s="1" t="s">
        <v>24</v>
      </c>
      <c r="C10" s="13">
        <f>主要指标!C6</f>
        <v>0</v>
      </c>
      <c r="D10" s="14"/>
      <c r="E10" s="15" t="s">
        <v>20</v>
      </c>
    </row>
    <row r="11" spans="1:5" ht="22.5" customHeight="1">
      <c r="A11" s="12" t="s">
        <v>25</v>
      </c>
      <c r="B11" s="16" t="s">
        <v>26</v>
      </c>
      <c r="C11" s="13">
        <f>主要指标!C7</f>
        <v>0</v>
      </c>
      <c r="D11" s="14"/>
      <c r="E11" s="15" t="s">
        <v>20</v>
      </c>
    </row>
    <row r="12" spans="1:5" ht="22.5" customHeight="1">
      <c r="A12" s="12" t="s">
        <v>27</v>
      </c>
      <c r="B12" s="16" t="s">
        <v>28</v>
      </c>
      <c r="C12" s="13">
        <f>主要指标!C8</f>
        <v>0</v>
      </c>
      <c r="D12" s="14"/>
      <c r="E12" s="15" t="s">
        <v>20</v>
      </c>
    </row>
    <row r="13" spans="1:5" ht="22.5" customHeight="1">
      <c r="A13" s="12" t="s">
        <v>29</v>
      </c>
      <c r="B13" s="16" t="s">
        <v>30</v>
      </c>
      <c r="C13" s="13">
        <f>主要指标!C9</f>
        <v>0</v>
      </c>
      <c r="D13" s="14"/>
      <c r="E13" s="15" t="s">
        <v>20</v>
      </c>
    </row>
    <row r="14" spans="1:5" ht="22.5" customHeight="1">
      <c r="A14" s="12" t="s">
        <v>31</v>
      </c>
      <c r="B14" s="16" t="s">
        <v>32</v>
      </c>
      <c r="C14" s="13">
        <f>主要指标!C10</f>
        <v>0</v>
      </c>
      <c r="D14" s="14"/>
      <c r="E14" s="15" t="s">
        <v>20</v>
      </c>
    </row>
    <row r="15" spans="1:5" ht="22.5" customHeight="1">
      <c r="A15" s="12" t="s">
        <v>33</v>
      </c>
      <c r="B15" s="17" t="s">
        <v>34</v>
      </c>
      <c r="C15" s="13">
        <f>主要指标!C11</f>
        <v>0</v>
      </c>
      <c r="D15" s="14"/>
      <c r="E15" s="15" t="s">
        <v>20</v>
      </c>
    </row>
    <row r="16" spans="1:5" ht="22.5" customHeight="1">
      <c r="A16" s="12" t="s">
        <v>35</v>
      </c>
      <c r="B16" s="4" t="s">
        <v>36</v>
      </c>
      <c r="C16" s="13">
        <f>主要指标!C12</f>
        <v>0</v>
      </c>
      <c r="D16" s="14"/>
      <c r="E16" s="15" t="s">
        <v>20</v>
      </c>
    </row>
    <row r="17" spans="1:5" ht="22.5" customHeight="1">
      <c r="A17" s="12" t="s">
        <v>37</v>
      </c>
      <c r="B17" s="18" t="s">
        <v>38</v>
      </c>
      <c r="C17" s="13">
        <f>主要指标!C13</f>
        <v>0</v>
      </c>
      <c r="D17" s="14"/>
      <c r="E17" s="15" t="s">
        <v>20</v>
      </c>
    </row>
    <row r="18" spans="1:5" ht="22.5" customHeight="1">
      <c r="A18" s="12" t="s">
        <v>39</v>
      </c>
      <c r="B18" s="18" t="s">
        <v>40</v>
      </c>
      <c r="C18" s="13">
        <f>主要指标!C14</f>
        <v>0</v>
      </c>
      <c r="D18" s="14"/>
      <c r="E18" s="15" t="s">
        <v>20</v>
      </c>
    </row>
    <row r="19" spans="1:5" ht="22.5" customHeight="1">
      <c r="A19" s="12" t="s">
        <v>41</v>
      </c>
      <c r="B19" s="18" t="s">
        <v>42</v>
      </c>
      <c r="C19" s="13">
        <f>主要指标!C15</f>
        <v>0</v>
      </c>
      <c r="D19" s="14"/>
      <c r="E19" s="15" t="s">
        <v>20</v>
      </c>
    </row>
    <row r="20" spans="1:5" ht="22.5" customHeight="1">
      <c r="A20" s="12" t="s">
        <v>43</v>
      </c>
      <c r="B20" s="18" t="s">
        <v>44</v>
      </c>
      <c r="C20" s="13">
        <f>主要指标!C16</f>
        <v>0</v>
      </c>
      <c r="D20" s="14"/>
      <c r="E20" s="15" t="s">
        <v>20</v>
      </c>
    </row>
    <row r="21" spans="1:5" ht="22.5" customHeight="1">
      <c r="A21" s="12" t="s">
        <v>45</v>
      </c>
      <c r="B21" s="18" t="s">
        <v>46</v>
      </c>
      <c r="C21" s="13">
        <f>主要指标!C17</f>
        <v>0</v>
      </c>
      <c r="D21" s="14"/>
      <c r="E21" s="15" t="s">
        <v>20</v>
      </c>
    </row>
    <row r="22" spans="1:5" ht="22.5" customHeight="1">
      <c r="A22" s="12" t="s">
        <v>47</v>
      </c>
      <c r="B22" s="5" t="s">
        <v>48</v>
      </c>
      <c r="C22" s="13">
        <f>主要指标!C18</f>
        <v>0</v>
      </c>
      <c r="D22" s="14"/>
      <c r="E22" s="15" t="s">
        <v>20</v>
      </c>
    </row>
    <row r="23" spans="1:5" ht="22.5" customHeight="1">
      <c r="A23" s="12" t="s">
        <v>49</v>
      </c>
      <c r="B23" s="16" t="s">
        <v>50</v>
      </c>
      <c r="C23" s="13">
        <f>主要指标!C19</f>
        <v>0</v>
      </c>
      <c r="D23" s="14"/>
      <c r="E23" s="15" t="s">
        <v>20</v>
      </c>
    </row>
    <row r="24" spans="1:5" ht="22.5" customHeight="1">
      <c r="A24" s="12" t="s">
        <v>51</v>
      </c>
      <c r="B24" s="16" t="s">
        <v>52</v>
      </c>
      <c r="C24" s="13">
        <f>主要指标!C20</f>
        <v>0</v>
      </c>
      <c r="D24" s="14"/>
      <c r="E24" s="15" t="s">
        <v>20</v>
      </c>
    </row>
    <row r="25" spans="1:5" ht="22.5" customHeight="1">
      <c r="A25" s="12" t="s">
        <v>53</v>
      </c>
      <c r="B25" s="17" t="s">
        <v>54</v>
      </c>
      <c r="C25" s="13">
        <f>主要指标!C21</f>
        <v>0</v>
      </c>
      <c r="D25" s="14"/>
      <c r="E25" s="15" t="s">
        <v>20</v>
      </c>
    </row>
    <row r="26" spans="1:5" ht="22.5" customHeight="1">
      <c r="A26" s="12" t="s">
        <v>55</v>
      </c>
      <c r="B26" s="17" t="s">
        <v>56</v>
      </c>
      <c r="C26" s="13" t="str">
        <f>主要指标!C22</f>
        <v/>
      </c>
      <c r="D26" s="14"/>
      <c r="E26" s="15" t="s">
        <v>20</v>
      </c>
    </row>
    <row r="27" spans="1:5" ht="22.5" customHeight="1">
      <c r="A27" s="12" t="s">
        <v>57</v>
      </c>
      <c r="B27" s="17" t="s">
        <v>58</v>
      </c>
      <c r="C27" s="13">
        <f>主要指标!C23</f>
        <v>0</v>
      </c>
      <c r="D27" s="14"/>
      <c r="E27" s="15" t="s">
        <v>20</v>
      </c>
    </row>
    <row r="28" spans="1:5" ht="22.5" customHeight="1">
      <c r="A28" s="19" t="s">
        <v>59</v>
      </c>
      <c r="B28" s="20" t="s">
        <v>60</v>
      </c>
      <c r="C28" s="21" t="str">
        <f>主要指标!C24</f>
        <v/>
      </c>
      <c r="D28" s="22"/>
      <c r="E28" s="23" t="s">
        <v>20</v>
      </c>
    </row>
    <row r="29" spans="1:5" ht="22.5" customHeight="1">
      <c r="A29" s="12" t="s">
        <v>61</v>
      </c>
      <c r="B29" s="6" t="s">
        <v>62</v>
      </c>
      <c r="C29" s="13">
        <f>主要指标!D4</f>
        <v>0</v>
      </c>
      <c r="D29" s="14"/>
      <c r="E29" s="15" t="s">
        <v>20</v>
      </c>
    </row>
    <row r="30" spans="1:5" ht="22.5" customHeight="1">
      <c r="A30" s="12" t="s">
        <v>63</v>
      </c>
      <c r="B30" s="6" t="s">
        <v>64</v>
      </c>
      <c r="C30" s="13">
        <f>主要指标!D5</f>
        <v>0</v>
      </c>
      <c r="D30" s="14"/>
      <c r="E30" s="15" t="s">
        <v>20</v>
      </c>
    </row>
    <row r="31" spans="1:5" ht="22.5" customHeight="1">
      <c r="A31" s="12" t="s">
        <v>65</v>
      </c>
      <c r="B31" s="1" t="s">
        <v>66</v>
      </c>
      <c r="C31" s="13">
        <f>主要指标!D6</f>
        <v>0</v>
      </c>
      <c r="D31" s="14"/>
      <c r="E31" s="15" t="s">
        <v>20</v>
      </c>
    </row>
    <row r="32" spans="1:5" ht="22.5" customHeight="1">
      <c r="A32" s="12" t="s">
        <v>67</v>
      </c>
      <c r="B32" s="16" t="s">
        <v>68</v>
      </c>
      <c r="C32" s="13">
        <f>主要指标!D7</f>
        <v>0</v>
      </c>
      <c r="D32" s="14"/>
      <c r="E32" s="15" t="s">
        <v>20</v>
      </c>
    </row>
    <row r="33" spans="1:5" ht="22.5" customHeight="1">
      <c r="A33" s="12" t="s">
        <v>69</v>
      </c>
      <c r="B33" s="16" t="s">
        <v>28</v>
      </c>
      <c r="C33" s="13">
        <f>主要指标!D8</f>
        <v>0</v>
      </c>
      <c r="D33" s="14"/>
      <c r="E33" s="15" t="s">
        <v>20</v>
      </c>
    </row>
    <row r="34" spans="1:5" ht="22.5" customHeight="1">
      <c r="A34" s="12" t="s">
        <v>70</v>
      </c>
      <c r="B34" s="16" t="s">
        <v>71</v>
      </c>
      <c r="C34" s="13">
        <f>主要指标!D9</f>
        <v>0</v>
      </c>
      <c r="D34" s="14"/>
      <c r="E34" s="15" t="s">
        <v>20</v>
      </c>
    </row>
    <row r="35" spans="1:5" ht="22.5" customHeight="1">
      <c r="A35" s="12" t="s">
        <v>72</v>
      </c>
      <c r="B35" s="16" t="s">
        <v>32</v>
      </c>
      <c r="C35" s="13">
        <f>主要指标!D10</f>
        <v>0</v>
      </c>
      <c r="D35" s="14"/>
      <c r="E35" s="15" t="s">
        <v>20</v>
      </c>
    </row>
    <row r="36" spans="1:5" ht="22.5" customHeight="1">
      <c r="A36" s="12" t="s">
        <v>73</v>
      </c>
      <c r="B36" s="17" t="s">
        <v>74</v>
      </c>
      <c r="C36" s="13">
        <f>主要指标!D11</f>
        <v>0</v>
      </c>
      <c r="D36" s="14"/>
      <c r="E36" s="15" t="s">
        <v>20</v>
      </c>
    </row>
    <row r="37" spans="1:5" ht="22.5" customHeight="1">
      <c r="A37" s="12" t="s">
        <v>75</v>
      </c>
      <c r="B37" s="4" t="s">
        <v>76</v>
      </c>
      <c r="C37" s="13">
        <f>主要指标!D12</f>
        <v>0</v>
      </c>
      <c r="D37" s="14"/>
      <c r="E37" s="15" t="s">
        <v>20</v>
      </c>
    </row>
    <row r="38" spans="1:5" ht="22.5" customHeight="1">
      <c r="A38" s="12" t="s">
        <v>77</v>
      </c>
      <c r="B38" s="18" t="s">
        <v>78</v>
      </c>
      <c r="C38" s="13">
        <f>主要指标!D13</f>
        <v>0</v>
      </c>
      <c r="D38" s="14"/>
      <c r="E38" s="15" t="s">
        <v>20</v>
      </c>
    </row>
    <row r="39" spans="1:5" ht="22.5" customHeight="1">
      <c r="A39" s="12" t="s">
        <v>79</v>
      </c>
      <c r="B39" s="18" t="s">
        <v>80</v>
      </c>
      <c r="C39" s="13">
        <f>主要指标!D14</f>
        <v>0</v>
      </c>
      <c r="D39" s="14"/>
      <c r="E39" s="15" t="s">
        <v>20</v>
      </c>
    </row>
    <row r="40" spans="1:5" ht="22.5" customHeight="1">
      <c r="A40" s="12" t="s">
        <v>81</v>
      </c>
      <c r="B40" s="18" t="s">
        <v>82</v>
      </c>
      <c r="C40" s="13">
        <f>主要指标!D15</f>
        <v>0</v>
      </c>
      <c r="D40" s="14"/>
      <c r="E40" s="15" t="s">
        <v>20</v>
      </c>
    </row>
    <row r="41" spans="1:5" ht="22.5" customHeight="1">
      <c r="A41" s="12" t="s">
        <v>83</v>
      </c>
      <c r="B41" s="18" t="s">
        <v>84</v>
      </c>
      <c r="C41" s="13">
        <f>主要指标!D16</f>
        <v>0</v>
      </c>
      <c r="D41" s="14"/>
      <c r="E41" s="15" t="s">
        <v>20</v>
      </c>
    </row>
    <row r="42" spans="1:5" ht="22.5" customHeight="1">
      <c r="A42" s="12" t="s">
        <v>85</v>
      </c>
      <c r="B42" s="18" t="s">
        <v>86</v>
      </c>
      <c r="C42" s="13">
        <f>主要指标!D17</f>
        <v>0</v>
      </c>
      <c r="D42" s="14"/>
      <c r="E42" s="15" t="s">
        <v>20</v>
      </c>
    </row>
    <row r="43" spans="1:5" ht="22.5" customHeight="1">
      <c r="A43" s="12" t="s">
        <v>87</v>
      </c>
      <c r="B43" s="5" t="s">
        <v>88</v>
      </c>
      <c r="C43" s="13">
        <f>主要指标!D18</f>
        <v>0</v>
      </c>
      <c r="D43" s="14"/>
      <c r="E43" s="15" t="s">
        <v>20</v>
      </c>
    </row>
    <row r="44" spans="1:5" ht="22.5" customHeight="1">
      <c r="A44" s="12" t="s">
        <v>89</v>
      </c>
      <c r="B44" s="16" t="s">
        <v>50</v>
      </c>
      <c r="C44" s="13">
        <f>主要指标!D19</f>
        <v>0</v>
      </c>
      <c r="D44" s="14"/>
      <c r="E44" s="15" t="s">
        <v>20</v>
      </c>
    </row>
    <row r="45" spans="1:5" ht="22.5" customHeight="1">
      <c r="A45" s="12" t="s">
        <v>90</v>
      </c>
      <c r="B45" s="16" t="s">
        <v>91</v>
      </c>
      <c r="C45" s="13">
        <f>主要指标!D20</f>
        <v>0</v>
      </c>
      <c r="D45" s="14"/>
      <c r="E45" s="15" t="s">
        <v>20</v>
      </c>
    </row>
    <row r="46" spans="1:5" ht="22.5" customHeight="1">
      <c r="A46" s="12" t="s">
        <v>92</v>
      </c>
      <c r="B46" s="17" t="s">
        <v>93</v>
      </c>
      <c r="C46" s="13">
        <f>主要指标!D21</f>
        <v>0</v>
      </c>
      <c r="D46" s="14"/>
      <c r="E46" s="15" t="s">
        <v>20</v>
      </c>
    </row>
    <row r="47" spans="1:5" ht="22.5" customHeight="1">
      <c r="A47" s="12" t="s">
        <v>94</v>
      </c>
      <c r="B47" s="17" t="s">
        <v>95</v>
      </c>
      <c r="C47" s="13" t="str">
        <f>主要指标!D22</f>
        <v/>
      </c>
      <c r="D47" s="14"/>
      <c r="E47" s="15" t="s">
        <v>20</v>
      </c>
    </row>
    <row r="48" spans="1:5" ht="22.5" customHeight="1">
      <c r="A48" s="12" t="s">
        <v>96</v>
      </c>
      <c r="B48" s="17" t="s">
        <v>97</v>
      </c>
      <c r="C48" s="13">
        <f>主要指标!D23</f>
        <v>0</v>
      </c>
      <c r="D48" s="14"/>
      <c r="E48" s="15" t="s">
        <v>20</v>
      </c>
    </row>
    <row r="49" spans="1:5" ht="22.5" customHeight="1">
      <c r="A49" s="12" t="s">
        <v>98</v>
      </c>
      <c r="B49" s="17" t="s">
        <v>99</v>
      </c>
      <c r="C49" s="13" t="str">
        <f>主要指标!D24</f>
        <v/>
      </c>
      <c r="D49" s="14"/>
      <c r="E49" s="15" t="s">
        <v>20</v>
      </c>
    </row>
  </sheetData>
  <phoneticPr fontId="17" type="noConversion"/>
  <pageMargins left="0.75" right="0.75" top="1" bottom="1" header="0.51180555555555596" footer="0.5118055555555559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9"/>
  <sheetViews>
    <sheetView workbookViewId="0">
      <selection activeCell="F7" sqref="F7"/>
    </sheetView>
  </sheetViews>
  <sheetFormatPr defaultColWidth="9" defaultRowHeight="13.5"/>
  <cols>
    <col min="1" max="1" width="9.5" style="31" customWidth="1"/>
    <col min="2" max="2" width="31.25" style="31" customWidth="1"/>
    <col min="3" max="3" width="27.5" style="31" customWidth="1"/>
    <col min="4" max="16384" width="9" style="31"/>
  </cols>
  <sheetData>
    <row r="1" spans="1:3" ht="24.6" customHeight="1">
      <c r="A1" s="48" t="s">
        <v>100</v>
      </c>
      <c r="B1" s="48"/>
      <c r="C1" s="48"/>
    </row>
    <row r="2" spans="1:3" ht="24.6" customHeight="1">
      <c r="A2" s="32" t="s">
        <v>101</v>
      </c>
      <c r="B2" s="32"/>
      <c r="C2" s="32"/>
    </row>
    <row r="3" spans="1:3" ht="22.7" customHeight="1">
      <c r="A3" s="49" t="s">
        <v>102</v>
      </c>
      <c r="B3" s="34" t="s">
        <v>103</v>
      </c>
      <c r="C3" s="34" t="s">
        <v>2</v>
      </c>
    </row>
    <row r="4" spans="1:3" ht="22.7" customHeight="1">
      <c r="A4" s="50" t="s">
        <v>104</v>
      </c>
      <c r="B4" s="51" t="s">
        <v>6</v>
      </c>
      <c r="C4" s="53"/>
    </row>
    <row r="5" spans="1:3" ht="22.7" customHeight="1">
      <c r="A5" s="50" t="s">
        <v>105</v>
      </c>
      <c r="B5" s="51" t="s">
        <v>9</v>
      </c>
      <c r="C5" s="53"/>
    </row>
    <row r="6" spans="1:3" ht="22.7" customHeight="1">
      <c r="A6" s="50" t="s">
        <v>106</v>
      </c>
      <c r="B6" s="36" t="s">
        <v>11</v>
      </c>
      <c r="C6" s="54"/>
    </row>
    <row r="7" spans="1:3" ht="22.7" customHeight="1">
      <c r="A7" s="52" t="s">
        <v>107</v>
      </c>
      <c r="B7" s="36" t="s">
        <v>13</v>
      </c>
      <c r="C7" s="55"/>
    </row>
    <row r="8" spans="1:3" ht="22.7" customHeight="1">
      <c r="A8" s="52" t="s">
        <v>108</v>
      </c>
      <c r="B8" s="36" t="s">
        <v>15</v>
      </c>
      <c r="C8" s="55"/>
    </row>
    <row r="9" spans="1:3" ht="22.7" customHeight="1">
      <c r="A9" s="52" t="s">
        <v>109</v>
      </c>
      <c r="B9" s="36" t="s">
        <v>17</v>
      </c>
      <c r="C9" s="55"/>
    </row>
  </sheetData>
  <sheetProtection algorithmName="SHA-512" hashValue="vIA1sSYmEg4D18gU6e6eReGTHvkGk3/27K9ysmuTmtNQotdxQL6e33IsUxBpVip1XLnito0mnd37x17TsjXI1g==" saltValue="ymuXwivaKzJIy9GUtV/LNQ==" spinCount="100000" sheet="1" objects="1" scenarios="1"/>
  <mergeCells count="2">
    <mergeCell ref="A1:C1"/>
    <mergeCell ref="A2:C2"/>
  </mergeCells>
  <phoneticPr fontId="17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Pict="0" macro="[2]!ret">
                <anchor moveWithCells="1" sizeWithCells="1">
                  <from>
                    <xdr:col>0</xdr:col>
                    <xdr:colOff>0</xdr:colOff>
                    <xdr:row>0</xdr:row>
                    <xdr:rowOff>9525</xdr:rowOff>
                  </from>
                  <to>
                    <xdr:col>1</xdr:col>
                    <xdr:colOff>419100</xdr:colOff>
                    <xdr:row>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24"/>
  <sheetViews>
    <sheetView tabSelected="1" workbookViewId="0">
      <selection activeCell="E10" sqref="E10"/>
    </sheetView>
  </sheetViews>
  <sheetFormatPr defaultColWidth="9" defaultRowHeight="13.5"/>
  <cols>
    <col min="1" max="1" width="9" style="31"/>
    <col min="2" max="2" width="58.375" style="31" customWidth="1"/>
    <col min="3" max="3" width="19.75" style="31" customWidth="1"/>
    <col min="4" max="4" width="18.875" style="31" customWidth="1"/>
    <col min="5" max="5" width="20.875" style="31" customWidth="1"/>
    <col min="6" max="16384" width="9" style="31"/>
  </cols>
  <sheetData>
    <row r="1" spans="1:4" ht="24.6" customHeight="1">
      <c r="A1" s="30" t="s">
        <v>110</v>
      </c>
      <c r="B1" s="30"/>
      <c r="C1" s="30"/>
      <c r="D1" s="30"/>
    </row>
    <row r="2" spans="1:4" ht="24.6" customHeight="1">
      <c r="A2" s="32" t="s">
        <v>101</v>
      </c>
      <c r="B2" s="32"/>
      <c r="C2" s="32"/>
    </row>
    <row r="3" spans="1:4" ht="22.7" customHeight="1">
      <c r="A3" s="33" t="s">
        <v>102</v>
      </c>
      <c r="B3" s="34" t="s">
        <v>103</v>
      </c>
      <c r="C3" s="34" t="s">
        <v>111</v>
      </c>
      <c r="D3" s="34" t="s">
        <v>112</v>
      </c>
    </row>
    <row r="4" spans="1:4" ht="22.7" customHeight="1">
      <c r="A4" s="35" t="s">
        <v>104</v>
      </c>
      <c r="B4" s="36" t="s">
        <v>113</v>
      </c>
      <c r="C4" s="45"/>
      <c r="D4" s="45"/>
    </row>
    <row r="5" spans="1:4" ht="22.7" customHeight="1">
      <c r="A5" s="35" t="s">
        <v>105</v>
      </c>
      <c r="B5" s="36" t="s">
        <v>114</v>
      </c>
      <c r="C5" s="46"/>
      <c r="D5" s="46"/>
    </row>
    <row r="6" spans="1:4" ht="22.7" customHeight="1">
      <c r="A6" s="35" t="s">
        <v>106</v>
      </c>
      <c r="B6" s="36" t="s">
        <v>115</v>
      </c>
      <c r="C6" s="3">
        <f>C7+C8+C9+C10</f>
        <v>0</v>
      </c>
      <c r="D6" s="3">
        <f>D7+D8+D9+D10</f>
        <v>0</v>
      </c>
    </row>
    <row r="7" spans="1:4" ht="22.7" customHeight="1">
      <c r="A7" s="37" t="s">
        <v>116</v>
      </c>
      <c r="B7" s="38" t="s">
        <v>117</v>
      </c>
      <c r="C7" s="47"/>
      <c r="D7" s="47"/>
    </row>
    <row r="8" spans="1:4" ht="22.7" customHeight="1">
      <c r="A8" s="37" t="s">
        <v>118</v>
      </c>
      <c r="B8" s="38" t="s">
        <v>28</v>
      </c>
      <c r="C8" s="47"/>
      <c r="D8" s="47"/>
    </row>
    <row r="9" spans="1:4" ht="22.7" customHeight="1">
      <c r="A9" s="37" t="s">
        <v>119</v>
      </c>
      <c r="B9" s="38" t="s">
        <v>120</v>
      </c>
      <c r="C9" s="47"/>
      <c r="D9" s="47"/>
    </row>
    <row r="10" spans="1:4" ht="22.7" customHeight="1">
      <c r="A10" s="37" t="s">
        <v>121</v>
      </c>
      <c r="B10" s="38" t="s">
        <v>32</v>
      </c>
      <c r="C10" s="47"/>
      <c r="D10" s="47"/>
    </row>
    <row r="11" spans="1:4" ht="22.7" customHeight="1">
      <c r="A11" s="39" t="s">
        <v>107</v>
      </c>
      <c r="B11" s="40" t="s">
        <v>122</v>
      </c>
      <c r="C11" s="2">
        <f>C12+C19+C20</f>
        <v>0</v>
      </c>
      <c r="D11" s="2">
        <f>D12+D19+D20</f>
        <v>0</v>
      </c>
    </row>
    <row r="12" spans="1:4" ht="22.7" customHeight="1">
      <c r="A12" s="37" t="s">
        <v>123</v>
      </c>
      <c r="B12" s="38" t="s">
        <v>124</v>
      </c>
      <c r="C12" s="47"/>
      <c r="D12" s="47"/>
    </row>
    <row r="13" spans="1:4" ht="22.7" customHeight="1">
      <c r="A13" s="37" t="s">
        <v>125</v>
      </c>
      <c r="B13" s="41" t="s">
        <v>126</v>
      </c>
      <c r="C13" s="47"/>
      <c r="D13" s="47"/>
    </row>
    <row r="14" spans="1:4" ht="22.7" customHeight="1">
      <c r="A14" s="37" t="s">
        <v>127</v>
      </c>
      <c r="B14" s="41" t="s">
        <v>128</v>
      </c>
      <c r="C14" s="47"/>
      <c r="D14" s="47"/>
    </row>
    <row r="15" spans="1:4" ht="22.7" customHeight="1">
      <c r="A15" s="37" t="s">
        <v>129</v>
      </c>
      <c r="B15" s="41" t="s">
        <v>130</v>
      </c>
      <c r="C15" s="47"/>
      <c r="D15" s="47"/>
    </row>
    <row r="16" spans="1:4" ht="22.7" customHeight="1">
      <c r="A16" s="37" t="s">
        <v>131</v>
      </c>
      <c r="B16" s="41" t="s">
        <v>132</v>
      </c>
      <c r="C16" s="47"/>
      <c r="D16" s="47"/>
    </row>
    <row r="17" spans="1:5" ht="22.7" customHeight="1">
      <c r="A17" s="37" t="s">
        <v>133</v>
      </c>
      <c r="B17" s="41" t="s">
        <v>134</v>
      </c>
      <c r="C17" s="47"/>
      <c r="D17" s="47"/>
    </row>
    <row r="18" spans="1:5" ht="22.7" customHeight="1">
      <c r="A18" s="37" t="s">
        <v>135</v>
      </c>
      <c r="B18" s="41" t="s">
        <v>136</v>
      </c>
      <c r="C18" s="47"/>
      <c r="D18" s="47"/>
    </row>
    <row r="19" spans="1:5" ht="22.7" customHeight="1">
      <c r="A19" s="37" t="s">
        <v>137</v>
      </c>
      <c r="B19" s="38" t="s">
        <v>50</v>
      </c>
      <c r="C19" s="47"/>
      <c r="D19" s="47"/>
    </row>
    <row r="20" spans="1:5" ht="22.7" customHeight="1">
      <c r="A20" s="37" t="s">
        <v>138</v>
      </c>
      <c r="B20" s="38" t="s">
        <v>139</v>
      </c>
      <c r="C20" s="47"/>
      <c r="D20" s="47"/>
    </row>
    <row r="21" spans="1:5" ht="22.7" customHeight="1">
      <c r="A21" s="39" t="s">
        <v>108</v>
      </c>
      <c r="B21" s="40" t="s">
        <v>140</v>
      </c>
      <c r="C21" s="24">
        <f>(C7+C8)-C11</f>
        <v>0</v>
      </c>
      <c r="D21" s="25">
        <f>(D7+D8)-D11</f>
        <v>0</v>
      </c>
    </row>
    <row r="22" spans="1:5" ht="22.7" customHeight="1">
      <c r="A22" s="39" t="s">
        <v>109</v>
      </c>
      <c r="B22" s="40" t="s">
        <v>141</v>
      </c>
      <c r="C22" s="26" t="str">
        <f>IF(C11=0,"",(C7+C8)/C11)</f>
        <v/>
      </c>
      <c r="D22" s="27" t="str">
        <f>IF(D11=0,"",(D7+D8)/D11)</f>
        <v/>
      </c>
      <c r="E22" s="42" t="s">
        <v>142</v>
      </c>
    </row>
    <row r="23" spans="1:5" ht="22.7" customHeight="1">
      <c r="A23" s="39" t="s">
        <v>143</v>
      </c>
      <c r="B23" s="40" t="s">
        <v>144</v>
      </c>
      <c r="C23" s="24">
        <f>C6-C11</f>
        <v>0</v>
      </c>
      <c r="D23" s="25">
        <f>D6-D11</f>
        <v>0</v>
      </c>
    </row>
    <row r="24" spans="1:5" ht="22.7" customHeight="1">
      <c r="A24" s="43" t="s">
        <v>145</v>
      </c>
      <c r="B24" s="44" t="s">
        <v>146</v>
      </c>
      <c r="C24" s="28" t="str">
        <f>IF(C11=0,"",C6/C11)</f>
        <v/>
      </c>
      <c r="D24" s="29" t="str">
        <f>IF(D11=0,"",D6/D11)</f>
        <v/>
      </c>
      <c r="E24" s="42" t="s">
        <v>142</v>
      </c>
    </row>
  </sheetData>
  <sheetProtection algorithmName="SHA-512" hashValue="TqsVRtVfGUXtjpLq+IeYZixd8x1OdcMsUHbtau5aeepIrxRgnsjUzh5IJ57NIc/JKX/zueJnNlm0lJ81qzQ8Ow==" saltValue="RdBdnEFxKDDApD3Fh3bJZw==" spinCount="100000" sheet="1" objects="1" scenarios="1"/>
  <mergeCells count="2">
    <mergeCell ref="A1:D1"/>
    <mergeCell ref="A2:C2"/>
  </mergeCells>
  <phoneticPr fontId="17" type="noConversion"/>
  <pageMargins left="0.75" right="0.75" top="1" bottom="1" header="0.51180555555555596" footer="0.51180555555555596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Pict="0" macro="[2]!re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A01#</vt:lpstr>
      <vt:lpstr>公司信息</vt:lpstr>
      <vt:lpstr>主要指标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</dc:creator>
  <cp:lastModifiedBy>fangdi</cp:lastModifiedBy>
  <dcterms:created xsi:type="dcterms:W3CDTF">2016-03-09T08:08:00Z</dcterms:created>
  <dcterms:modified xsi:type="dcterms:W3CDTF">2017-03-21T09:58:40Z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2052-10.1.0.6135</vt:lpwstr>
  </property>
</Properties>
</file>